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/>
  </bookViews>
  <sheets>
    <sheet name="BOM 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C8B338AF4F0465281C1607ED6C7287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273810" y="369570"/>
          <a:ext cx="574675" cy="490220"/>
        </a:xfrm>
        <a:prstGeom prst="rect">
          <a:avLst/>
        </a:prstGeom>
      </xdr:spPr>
    </xdr:pic>
  </etc:cellImage>
  <etc:cellImage>
    <xdr:pic>
      <xdr:nvPicPr>
        <xdr:cNvPr id="3" name="ID_8F38927F90784389A34A4C09FB9F0035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273810" y="864870"/>
          <a:ext cx="574675" cy="490220"/>
        </a:xfrm>
        <a:prstGeom prst="rect">
          <a:avLst/>
        </a:prstGeom>
      </xdr:spPr>
    </xdr:pic>
  </etc:cellImage>
  <etc:cellImage>
    <xdr:pic>
      <xdr:nvPicPr>
        <xdr:cNvPr id="17" name="ID_528D822235434A36B7B038E5F46CD8B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9050" y="1360805"/>
          <a:ext cx="568325" cy="496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35CC9505EBF4203B4823E4308A823EC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273810" y="1855470"/>
          <a:ext cx="574675" cy="490220"/>
        </a:xfrm>
        <a:prstGeom prst="rect">
          <a:avLst/>
        </a:prstGeom>
      </xdr:spPr>
    </xdr:pic>
  </etc:cellImage>
  <etc:cellImage>
    <xdr:pic>
      <xdr:nvPicPr>
        <xdr:cNvPr id="5" name="ID_D74ED374AAB54CE3882E28A75A8C276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273810" y="2350770"/>
          <a:ext cx="574675" cy="490220"/>
        </a:xfrm>
        <a:prstGeom prst="rect">
          <a:avLst/>
        </a:prstGeom>
      </xdr:spPr>
    </xdr:pic>
  </etc:cellImage>
  <etc:cellImage>
    <xdr:pic>
      <xdr:nvPicPr>
        <xdr:cNvPr id="6" name="ID_82BD45AA128E4E37B6C87BDDF5F6041E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273810" y="2846070"/>
          <a:ext cx="574675" cy="490220"/>
        </a:xfrm>
        <a:prstGeom prst="rect">
          <a:avLst/>
        </a:prstGeom>
      </xdr:spPr>
    </xdr:pic>
  </etc:cellImage>
  <etc:cellImage>
    <xdr:pic>
      <xdr:nvPicPr>
        <xdr:cNvPr id="7" name="ID_5893731C0D554561845E213AD4A0E828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273810" y="3341370"/>
          <a:ext cx="574675" cy="490220"/>
        </a:xfrm>
        <a:prstGeom prst="rect">
          <a:avLst/>
        </a:prstGeom>
      </xdr:spPr>
    </xdr:pic>
  </etc:cellImage>
  <etc:cellImage>
    <xdr:pic>
      <xdr:nvPicPr>
        <xdr:cNvPr id="8" name="ID_F48D65EDA5FC469C8E18B25290D077DF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273810" y="3836670"/>
          <a:ext cx="574675" cy="490220"/>
        </a:xfrm>
        <a:prstGeom prst="rect">
          <a:avLst/>
        </a:prstGeom>
      </xdr:spPr>
    </xdr:pic>
  </etc:cellImage>
  <etc:cellImage>
    <xdr:pic>
      <xdr:nvPicPr>
        <xdr:cNvPr id="9" name="ID_6E606B540B8D4C2F80CC9AAA54F0628A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273810" y="4331970"/>
          <a:ext cx="574675" cy="490220"/>
        </a:xfrm>
        <a:prstGeom prst="rect">
          <a:avLst/>
        </a:prstGeom>
      </xdr:spPr>
    </xdr:pic>
  </etc:cellImage>
  <etc:cellImage>
    <xdr:pic>
      <xdr:nvPicPr>
        <xdr:cNvPr id="10" name="ID_C41027DA7E0444A38F4C37926FE3D33D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273810" y="4827270"/>
          <a:ext cx="574675" cy="490220"/>
        </a:xfrm>
        <a:prstGeom prst="rect">
          <a:avLst/>
        </a:prstGeom>
      </xdr:spPr>
    </xdr:pic>
  </etc:cellImage>
  <etc:cellImage>
    <xdr:pic>
      <xdr:nvPicPr>
        <xdr:cNvPr id="11" name="ID_6ED3751F53F64E0E9BD8914EEB4C2509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273810" y="5322570"/>
          <a:ext cx="574675" cy="490220"/>
        </a:xfrm>
        <a:prstGeom prst="rect">
          <a:avLst/>
        </a:prstGeom>
      </xdr:spPr>
    </xdr:pic>
  </etc:cellImage>
  <etc:cellImage>
    <xdr:pic>
      <xdr:nvPicPr>
        <xdr:cNvPr id="12" name="ID_863B83A902E14F5BA1262BDF1D848D54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273810" y="5817870"/>
          <a:ext cx="574675" cy="490220"/>
        </a:xfrm>
        <a:prstGeom prst="rect">
          <a:avLst/>
        </a:prstGeom>
      </xdr:spPr>
    </xdr:pic>
  </etc:cellImage>
  <etc:cellImage>
    <xdr:pic>
      <xdr:nvPicPr>
        <xdr:cNvPr id="13" name="ID_F74D8399220041F489A7E0CBF63A6FB2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273810" y="6313170"/>
          <a:ext cx="574675" cy="490220"/>
        </a:xfrm>
        <a:prstGeom prst="rect">
          <a:avLst/>
        </a:prstGeom>
      </xdr:spPr>
    </xdr:pic>
  </etc:cellImage>
  <etc:cellImage>
    <xdr:pic>
      <xdr:nvPicPr>
        <xdr:cNvPr id="15" name="ID_BFED1074A6804CB6AA0FA0206E46978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273810" y="7303770"/>
          <a:ext cx="574675" cy="4902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<sst xmlns="http://schemas.openxmlformats.org/spreadsheetml/2006/main" count="47" uniqueCount="29">
  <si>
    <r>
      <rPr>
        <sz val="11"/>
        <rFont val="宋体"/>
        <charset val="134"/>
      </rPr>
      <t>项目</t>
    </r>
  </si>
  <si>
    <r>
      <rPr>
        <sz val="11"/>
        <rFont val="宋体"/>
        <charset val="134"/>
      </rPr>
      <t>零件代号</t>
    </r>
  </si>
  <si>
    <r>
      <rPr>
        <sz val="11"/>
        <rFont val="宋体"/>
        <charset val="134"/>
      </rPr>
      <t>缩略图</t>
    </r>
  </si>
  <si>
    <r>
      <t xml:space="preserve">BOM </t>
    </r>
    <r>
      <rPr>
        <sz val="11"/>
        <rFont val="宋体"/>
        <charset val="134"/>
      </rPr>
      <t>表结构</t>
    </r>
  </si>
  <si>
    <r>
      <rPr>
        <sz val="11"/>
        <rFont val="宋体"/>
        <charset val="134"/>
      </rPr>
      <t>数量</t>
    </r>
  </si>
  <si>
    <r>
      <rPr>
        <sz val="11"/>
        <rFont val="宋体"/>
        <charset val="134"/>
      </rPr>
      <t>描述</t>
    </r>
  </si>
  <si>
    <t>001_2dof_head - G1_head_mount.stl</t>
  </si>
  <si>
    <r>
      <rPr>
        <sz val="11"/>
        <rFont val="宋体"/>
        <charset val="134"/>
      </rPr>
      <t>普通件</t>
    </r>
  </si>
  <si>
    <r>
      <t>3d</t>
    </r>
    <r>
      <rPr>
        <sz val="11"/>
        <rFont val="宋体"/>
        <charset val="134"/>
      </rPr>
      <t>打印件</t>
    </r>
    <r>
      <rPr>
        <sz val="11"/>
        <rFont val="Times New Roman"/>
        <charset val="134"/>
      </rPr>
      <t>pla</t>
    </r>
  </si>
  <si>
    <t>002_2dof_head - G1_head_mount.stl</t>
  </si>
  <si>
    <t>004_3dof_head - G1_head_mount.stl</t>
  </si>
  <si>
    <r>
      <rPr>
        <sz val="11"/>
        <rFont val="宋体"/>
        <charset val="134"/>
      </rPr>
      <t>零件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</si>
  <si>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舵机</t>
    </r>
    <r>
      <rPr>
        <sz val="11"/>
        <rFont val="Times New Roman"/>
        <charset val="134"/>
      </rPr>
      <t>STS3032</t>
    </r>
  </si>
  <si>
    <r>
      <rPr>
        <sz val="11"/>
        <rFont val="宋体"/>
        <charset val="134"/>
      </rPr>
      <t>外购件</t>
    </r>
  </si>
  <si>
    <r>
      <rPr>
        <sz val="11"/>
        <rFont val="宋体"/>
        <charset val="134"/>
      </rPr>
      <t>舵机</t>
    </r>
    <r>
      <rPr>
        <sz val="11"/>
        <rFont val="Times New Roman"/>
        <charset val="134"/>
      </rPr>
      <t>STS3032_</t>
    </r>
    <r>
      <rPr>
        <sz val="11"/>
        <rFont val="宋体"/>
        <charset val="134"/>
      </rPr>
      <t>舵脚</t>
    </r>
  </si>
  <si>
    <r>
      <rPr>
        <sz val="11"/>
        <rFont val="宋体"/>
        <charset val="134"/>
      </rPr>
      <t>舵机</t>
    </r>
    <r>
      <rPr>
        <sz val="11"/>
        <rFont val="Times New Roman"/>
        <charset val="134"/>
      </rPr>
      <t>STS3032</t>
    </r>
    <r>
      <rPr>
        <sz val="11"/>
        <rFont val="宋体"/>
        <charset val="134"/>
      </rPr>
      <t>自带</t>
    </r>
  </si>
  <si>
    <r>
      <rPr>
        <sz val="11"/>
        <rFont val="宋体"/>
        <charset val="134"/>
      </rPr>
      <t>转接板</t>
    </r>
  </si>
  <si>
    <t>URT-2</t>
  </si>
  <si>
    <r>
      <rPr>
        <sz val="11"/>
        <rFont val="宋体"/>
        <charset val="134"/>
      </rPr>
      <t>飞特舵机</t>
    </r>
    <r>
      <rPr>
        <sz val="11"/>
        <rFont val="Times New Roman"/>
        <charset val="134"/>
      </rPr>
      <t>URT2</t>
    </r>
    <r>
      <rPr>
        <sz val="11"/>
        <rFont val="宋体"/>
        <charset val="134"/>
      </rPr>
      <t>调试板</t>
    </r>
  </si>
  <si>
    <r>
      <rPr>
        <sz val="11"/>
        <rFont val="宋体"/>
        <charset val="134"/>
      </rPr>
      <t>英特尔</t>
    </r>
    <r>
      <rPr>
        <sz val="11"/>
        <rFont val="Times New Roman"/>
        <charset val="134"/>
      </rPr>
      <t>RealSense</t>
    </r>
    <r>
      <rPr>
        <sz val="11"/>
        <rFont val="宋体"/>
        <charset val="134"/>
      </rPr>
      <t>深度摄像头</t>
    </r>
    <r>
      <rPr>
        <sz val="11"/>
        <rFont val="Times New Roman"/>
        <charset val="134"/>
      </rPr>
      <t>D415</t>
    </r>
  </si>
  <si>
    <r>
      <rPr>
        <sz val="11"/>
        <rFont val="宋体"/>
        <charset val="134"/>
      </rPr>
      <t>螺钉</t>
    </r>
    <r>
      <rPr>
        <sz val="11"/>
        <rFont val="Times New Roman"/>
        <charset val="134"/>
      </rPr>
      <t>GB 845-85 - ST2.2 x 4.5 - C - H</t>
    </r>
  </si>
  <si>
    <r>
      <rPr>
        <sz val="11"/>
        <rFont val="宋体"/>
        <charset val="134"/>
      </rPr>
      <t>若干</t>
    </r>
  </si>
  <si>
    <r>
      <t xml:space="preserve">C-H </t>
    </r>
    <r>
      <rPr>
        <sz val="11"/>
        <rFont val="宋体"/>
        <charset val="134"/>
      </rPr>
      <t>型十字槽盘头自攻螺钉</t>
    </r>
  </si>
  <si>
    <r>
      <rPr>
        <sz val="11"/>
        <rFont val="宋体"/>
        <charset val="134"/>
      </rPr>
      <t>螺钉</t>
    </r>
    <r>
      <rPr>
        <sz val="11"/>
        <rFont val="Times New Roman"/>
        <charset val="134"/>
      </rPr>
      <t xml:space="preserve"> GB/T 818 M6 x 8</t>
    </r>
  </si>
  <si>
    <r>
      <t xml:space="preserve">H </t>
    </r>
    <r>
      <rPr>
        <sz val="11"/>
        <rFont val="宋体"/>
        <charset val="134"/>
      </rPr>
      <t>型十字槽盘头螺钉</t>
    </r>
  </si>
  <si>
    <r>
      <rPr>
        <sz val="11"/>
        <rFont val="宋体"/>
        <charset val="134"/>
      </rPr>
      <t>螺钉</t>
    </r>
    <r>
      <rPr>
        <sz val="11"/>
        <rFont val="Times New Roman"/>
        <charset val="134"/>
      </rPr>
      <t xml:space="preserve"> GB/T 818 M3 x 12</t>
    </r>
  </si>
  <si>
    <r>
      <rPr>
        <sz val="11"/>
        <rFont val="宋体"/>
        <charset val="134"/>
      </rPr>
      <t>螺母</t>
    </r>
    <r>
      <rPr>
        <sz val="11"/>
        <rFont val="Times New Roman"/>
        <charset val="134"/>
      </rPr>
      <t xml:space="preserve"> GB/T 6174 M3</t>
    </r>
  </si>
  <si>
    <r>
      <rPr>
        <sz val="11"/>
        <rFont val="宋体"/>
        <charset val="134"/>
      </rPr>
      <t>六角薄螺母</t>
    </r>
    <r>
      <rPr>
        <sz val="11"/>
        <rFont val="Times New Roman"/>
        <charset val="134"/>
      </rPr>
      <t xml:space="preserve"> (</t>
    </r>
    <r>
      <rPr>
        <sz val="11"/>
        <rFont val="宋体"/>
        <charset val="134"/>
      </rPr>
      <t>无倒角</t>
    </r>
    <r>
      <rPr>
        <sz val="11"/>
        <rFont val="Times New Roman"/>
        <charset val="134"/>
      </rPr>
      <t>)</t>
    </r>
  </si>
  <si>
    <r>
      <rPr>
        <sz val="11"/>
        <rFont val="宋体"/>
        <charset val="134"/>
      </rPr>
      <t>螺钉</t>
    </r>
    <r>
      <rPr>
        <sz val="11"/>
        <rFont val="Times New Roman"/>
        <charset val="134"/>
      </rPr>
      <t xml:space="preserve"> GB/T 818 M3 x 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</si>
</sst>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45" zoomScaleNormal="145" workbookViewId="0">
      <selection activeCell="G6" sqref="G6"/>
    </sheetView>
  </sheetViews>
  <sheetFormatPr defaultColWidth="9" defaultRowHeight="14.55" outlineLevelCol="5"/>
  <cols>
    <col min="1" max="1" width="4.63063063063063" customWidth="1"/>
    <col min="2" max="2" width="30.5495495495495" customWidth="1"/>
    <col min="3" max="3" width="8.22522522522523" customWidth="1"/>
    <col min="4" max="4" width="12.0720720720721" customWidth="1"/>
    <col min="5" max="5" width="5.81081081081081" customWidth="1"/>
    <col min="6" max="6" width="24.52252252252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9" customHeight="1" spans="1:6">
      <c r="A2" s="1">
        <v>1</v>
      </c>
      <c r="B2" s="1" t="s">
        <v>6</v>
      </c>
      <c r="C2" s="2" t="str">
        <f>_xlfn.DISPIMG("ID_EC8B338AF4F0465281C1607ED6C72877",1)</f>
        <v>=DISPIMG("ID_EC8B338AF4F0465281C1607ED6C72877",1)</v>
      </c>
      <c r="D2" s="1" t="s">
        <v>7</v>
      </c>
      <c r="E2" s="1">
        <v>1</v>
      </c>
      <c r="F2" s="2" t="s">
        <v>8</v>
      </c>
    </row>
    <row r="3" ht="39" customHeight="1" spans="1:6">
      <c r="A3" s="1">
        <v>2</v>
      </c>
      <c r="B3" s="1" t="s">
        <v>9</v>
      </c>
      <c r="C3" s="2" t="str">
        <f>_xlfn.DISPIMG("ID_8F38927F90784389A34A4C09FB9F0035",1)</f>
        <v>=DISPIMG("ID_8F38927F90784389A34A4C09FB9F0035",1)</v>
      </c>
      <c r="D3" s="1" t="s">
        <v>7</v>
      </c>
      <c r="E3" s="1">
        <v>1</v>
      </c>
      <c r="F3" s="2" t="s">
        <v>8</v>
      </c>
    </row>
    <row r="4" ht="39" customHeight="1" spans="1:6">
      <c r="A4" s="1">
        <v>3</v>
      </c>
      <c r="B4" s="1" t="s">
        <v>10</v>
      </c>
      <c r="C4" s="2" t="str">
        <f>_xlfn.DISPIMG("ID_528D822235434A36B7B038E5F46CD8B6",1)</f>
        <v>=DISPIMG("ID_528D822235434A36B7B038E5F46CD8B6",1)</v>
      </c>
      <c r="D4" s="1" t="s">
        <v>7</v>
      </c>
      <c r="E4" s="1">
        <v>1</v>
      </c>
      <c r="F4" s="3" t="s">
        <v>8</v>
      </c>
    </row>
    <row r="5" ht="39" customHeight="1" spans="1:6">
      <c r="A5" s="1">
        <v>4</v>
      </c>
      <c r="B5" s="1" t="s">
        <v>11</v>
      </c>
      <c r="C5" s="2" t="str">
        <f>_xlfn.DISPIMG("ID_863B83A902E14F5BA1262BDF1D848D54",1)</f>
        <v>=DISPIMG("ID_863B83A902E14F5BA1262BDF1D848D54",1)</v>
      </c>
      <c r="D5" s="1" t="s">
        <v>7</v>
      </c>
      <c r="E5" s="1">
        <v>1</v>
      </c>
      <c r="F5" s="2" t="s">
        <v>8</v>
      </c>
    </row>
    <row r="6" ht="39" customHeight="1" spans="1:6">
      <c r="A6" s="1">
        <v>5</v>
      </c>
      <c r="B6" s="1" t="s">
        <v>12</v>
      </c>
      <c r="C6" s="2" t="str">
        <f>_xlfn.DISPIMG("ID_735CC9505EBF4203B4823E4308A823EC",1)</f>
        <v>=DISPIMG("ID_735CC9505EBF4203B4823E4308A823EC",1)</v>
      </c>
      <c r="D6" s="1" t="s">
        <v>13</v>
      </c>
      <c r="E6" s="1">
        <v>2</v>
      </c>
      <c r="F6" s="1"/>
    </row>
    <row r="7" ht="39" customHeight="1" spans="1:6">
      <c r="A7" s="1">
        <v>6</v>
      </c>
      <c r="B7" s="1" t="s">
        <v>14</v>
      </c>
      <c r="C7" s="2" t="str">
        <f>_xlfn.DISPIMG("ID_D74ED374AAB54CE3882E28A75A8C2765",1)</f>
        <v>=DISPIMG("ID_D74ED374AAB54CE3882E28A75A8C2765",1)</v>
      </c>
      <c r="D7" s="1" t="s">
        <v>13</v>
      </c>
      <c r="E7" s="1">
        <v>2</v>
      </c>
      <c r="F7" s="1" t="s">
        <v>15</v>
      </c>
    </row>
    <row r="8" ht="39" customHeight="1" spans="1:6">
      <c r="A8" s="1">
        <v>7</v>
      </c>
      <c r="B8" s="1" t="s">
        <v>16</v>
      </c>
      <c r="C8" s="2" t="str">
        <f>_xlfn.DISPIMG("ID_BFED1074A6804CB6AA0FA0206E469787",1)</f>
        <v>=DISPIMG("ID_BFED1074A6804CB6AA0FA0206E469787",1)</v>
      </c>
      <c r="D8" s="1" t="s">
        <v>13</v>
      </c>
      <c r="E8" s="1">
        <v>1</v>
      </c>
      <c r="F8" s="2" t="s">
        <v>15</v>
      </c>
    </row>
    <row r="9" ht="39" customHeight="1" spans="1:6">
      <c r="A9" s="1">
        <v>8</v>
      </c>
      <c r="B9" s="1" t="s">
        <v>17</v>
      </c>
      <c r="C9" s="2" t="str">
        <f>_xlfn.DISPIMG("ID_6E606B540B8D4C2F80CC9AAA54F0628A",1)</f>
        <v>=DISPIMG("ID_6E606B540B8D4C2F80CC9AAA54F0628A",1)</v>
      </c>
      <c r="D9" s="1" t="s">
        <v>13</v>
      </c>
      <c r="E9" s="1">
        <v>1</v>
      </c>
      <c r="F9" s="2" t="s">
        <v>18</v>
      </c>
    </row>
    <row r="10" ht="39" customHeight="1" spans="1:6">
      <c r="A10" s="1">
        <v>9</v>
      </c>
      <c r="B10" s="1" t="s">
        <v>19</v>
      </c>
      <c r="C10" s="2" t="str">
        <f>_xlfn.DISPIMG("ID_82BD45AA128E4E37B6C87BDDF5F6041E",1)</f>
        <v>=DISPIMG("ID_82BD45AA128E4E37B6C87BDDF5F6041E",1)</v>
      </c>
      <c r="D10" s="1" t="s">
        <v>13</v>
      </c>
      <c r="E10" s="1">
        <v>1</v>
      </c>
      <c r="F10" s="1"/>
    </row>
    <row r="11" ht="39" customHeight="1" spans="1:6">
      <c r="A11" s="1">
        <v>10</v>
      </c>
      <c r="B11" s="1" t="s">
        <v>20</v>
      </c>
      <c r="C11" s="2" t="str">
        <f>_xlfn.DISPIMG("ID_5893731C0D554561845E213AD4A0E828",1)</f>
        <v>=DISPIMG("ID_5893731C0D554561845E213AD4A0E828",1)</v>
      </c>
      <c r="D11" s="1" t="s">
        <v>13</v>
      </c>
      <c r="E11" s="1" t="s">
        <v>21</v>
      </c>
      <c r="F11" s="1" t="s">
        <v>22</v>
      </c>
    </row>
    <row r="12" ht="39" customHeight="1" spans="1:6">
      <c r="A12" s="1">
        <v>11</v>
      </c>
      <c r="B12" s="1" t="s">
        <v>23</v>
      </c>
      <c r="C12" s="2" t="str">
        <f>_xlfn.DISPIMG("ID_F48D65EDA5FC469C8E18B25290D077DF",1)</f>
        <v>=DISPIMG("ID_F48D65EDA5FC469C8E18B25290D077DF",1)</v>
      </c>
      <c r="D12" s="1" t="s">
        <v>13</v>
      </c>
      <c r="E12" s="1">
        <v>1</v>
      </c>
      <c r="F12" s="1" t="s">
        <v>24</v>
      </c>
    </row>
    <row r="13" ht="39" customHeight="1" spans="1:6">
      <c r="A13" s="1">
        <v>12</v>
      </c>
      <c r="B13" s="4" t="s">
        <v>25</v>
      </c>
      <c r="C13" s="5" t="str">
        <f>_xlfn.DISPIMG("ID_C41027DA7E0444A38F4C37926FE3D33D",1)</f>
        <v>=DISPIMG("ID_C41027DA7E0444A38F4C37926FE3D33D",1)</v>
      </c>
      <c r="D13" s="4" t="s">
        <v>13</v>
      </c>
      <c r="E13" s="4">
        <v>2</v>
      </c>
      <c r="F13" s="4" t="s">
        <v>24</v>
      </c>
    </row>
    <row r="14" ht="39" customHeight="1" spans="1:6">
      <c r="A14" s="1">
        <v>13</v>
      </c>
      <c r="B14" s="4" t="s">
        <v>26</v>
      </c>
      <c r="C14" s="5" t="str">
        <f>_xlfn.DISPIMG("ID_6ED3751F53F64E0E9BD8914EEB4C2509",1)</f>
        <v>=DISPIMG("ID_6ED3751F53F64E0E9BD8914EEB4C2509",1)</v>
      </c>
      <c r="D14" s="4" t="s">
        <v>13</v>
      </c>
      <c r="E14" s="4">
        <v>2</v>
      </c>
      <c r="F14" s="4" t="s">
        <v>27</v>
      </c>
    </row>
    <row r="15" ht="39" customHeight="1" spans="1:6">
      <c r="A15" s="1">
        <v>14</v>
      </c>
      <c r="B15" s="4" t="s">
        <v>28</v>
      </c>
      <c r="C15" s="5" t="str">
        <f>_xlfn.DISPIMG("ID_F74D8399220041F489A7E0CBF63A6FB2",1)</f>
        <v>=DISPIMG("ID_F74D8399220041F489A7E0CBF63A6FB2",1)</v>
      </c>
      <c r="D15" s="4" t="s">
        <v>13</v>
      </c>
      <c r="E15" s="4">
        <v>2</v>
      </c>
      <c r="F15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凉墨</cp:lastModifiedBy>
  <dcterms:created xsi:type="dcterms:W3CDTF">2026-07-18T08:35:53Z</dcterms:created>
  <dcterms:modified xsi:type="dcterms:W3CDTF">2026-07-18T08:49:43Z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A9A6CFA6995C4D4CB2155C0BAD9CBCBF_13</vt:lpwstr>
  </property>
  <property fmtid="{D5CDD505-2E9C-101B-9397-08002B2CF9AE}" pid="3" name="KSOProductBuildVer">
    <vt:lpwstr>2052-12.1.0.22529</vt:lpwstr>
  </property>
</Properties>
</file>